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cdw3504/Documents/GitHub/CYBERDEF/"/>
    </mc:Choice>
  </mc:AlternateContent>
  <xr:revisionPtr revIDLastSave="0" documentId="13_ncr:1_{A7F7004D-DF3D-2A49-A6C2-D58EADB95220}" xr6:coauthVersionLast="47" xr6:coauthVersionMax="47" xr10:uidLastSave="{00000000-0000-0000-0000-000000000000}"/>
  <bookViews>
    <workbookView xWindow="0" yWindow="880" windowWidth="36000" windowHeight="21480" activeTab="2" xr2:uid="{25823E84-D085-0643-A9C6-4664E2B93CBF}"/>
  </bookViews>
  <sheets>
    <sheet name="Infos" sheetId="8" r:id="rId1"/>
    <sheet name="Config" sheetId="5" r:id="rId2"/>
    <sheet name="CHAPS.sources" sheetId="3" r:id="rId3"/>
    <sheet name="DATA Acronymes" sheetId="6" r:id="rId4"/>
    <sheet name="DATA Glossaire" sheetId="7" r:id="rId5"/>
    <sheet name="Services" sheetId="4" r:id="rId6"/>
    <sheet name="NOTES.build" sheetId="1" r:id="rId7"/>
  </sheets>
  <functionGroups builtInGroupCount="19"/>
  <definedNames>
    <definedName name="_CHEMIN">Config!$C$3</definedName>
    <definedName name="_xlnm._FilterDatabase" localSheetId="2" hidden="1">'CHAPS.sources'!$A$2:$J$52</definedName>
    <definedName name="_xlnm._FilterDatabase" localSheetId="6" hidden="1">NOTES.build!$A$2:$G$2</definedName>
    <definedName name="NOTES_INPUT">Config!$C$7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3" i="3"/>
  <c r="A19" i="1"/>
  <c r="A7" i="1"/>
  <c r="A4" i="1"/>
  <c r="A5" i="1"/>
  <c r="A6" i="1"/>
  <c r="A8" i="1"/>
  <c r="A9" i="1"/>
  <c r="A10" i="1"/>
  <c r="A11" i="1"/>
  <c r="A12" i="1"/>
  <c r="A13" i="1"/>
  <c r="A14" i="1"/>
  <c r="A15" i="1"/>
  <c r="A16" i="1"/>
  <c r="A17" i="1"/>
  <c r="A18" i="1"/>
  <c r="A3" i="1"/>
</calcChain>
</file>

<file path=xl/sharedStrings.xml><?xml version="1.0" encoding="utf-8"?>
<sst xmlns="http://schemas.openxmlformats.org/spreadsheetml/2006/main" count="268" uniqueCount="154">
  <si>
    <t>PRZ</t>
  </si>
  <si>
    <t>DOC</t>
  </si>
  <si>
    <t>Project File</t>
  </si>
  <si>
    <t>CYBERDEF-00-Intro</t>
  </si>
  <si>
    <t>Notes Source File</t>
  </si>
  <si>
    <t>x</t>
  </si>
  <si>
    <t>chap-VulMan-vul-gest</t>
  </si>
  <si>
    <t>chap-VulMan-vul-divers</t>
  </si>
  <si>
    <t>chap-VulMan-vul-def</t>
  </si>
  <si>
    <t>chap-VulMan-vul-cve</t>
  </si>
  <si>
    <t>chap-VulMan-vul-bugbounty</t>
  </si>
  <si>
    <t>chap-VulMan-secbydesign</t>
  </si>
  <si>
    <t>chap-VulMan-pentest-intro</t>
  </si>
  <si>
    <t>chap-VulMan-intro</t>
  </si>
  <si>
    <t>chap-VulMan-CERT</t>
  </si>
  <si>
    <t>chap-VTI-studwork</t>
  </si>
  <si>
    <t>chap-VTI-intro</t>
  </si>
  <si>
    <t>chap-ThreatMan-threatIntel</t>
  </si>
  <si>
    <t>chap-ThreatMan-threatdetect</t>
  </si>
  <si>
    <t>chap-ThreatMan-siem</t>
  </si>
  <si>
    <t>chap-ThreatMan-menace</t>
  </si>
  <si>
    <t>chap-ThreatMan-log</t>
  </si>
  <si>
    <t>chap-ThreatMan-leak</t>
  </si>
  <si>
    <t>chap-ThreatMan-intro</t>
  </si>
  <si>
    <t>chap-ThreatMan-history</t>
  </si>
  <si>
    <t>chap-ThreatMan-edr</t>
  </si>
  <si>
    <t>chap-ThreatMan-divers</t>
  </si>
  <si>
    <t>chap-ThreatMan-CSOC</t>
  </si>
  <si>
    <t>chap-ThreatMan-caract</t>
  </si>
  <si>
    <t>chap-ThreatMan-attacks</t>
  </si>
  <si>
    <t>chap-synthesis-divers</t>
  </si>
  <si>
    <t>chap-stratcyber-intro</t>
  </si>
  <si>
    <t>chap-RiskMan-sectoriel</t>
  </si>
  <si>
    <t>chap-RiskMan-introduction</t>
  </si>
  <si>
    <t>chap-latex-commands</t>
  </si>
  <si>
    <t>chap-Intro-ref</t>
  </si>
  <si>
    <t>chap-Intro-pedago</t>
  </si>
  <si>
    <t>chap-Intro-gen</t>
  </si>
  <si>
    <t>chap-Intro-attaquants</t>
  </si>
  <si>
    <t>chap-InfoSecMan-secarchi</t>
  </si>
  <si>
    <t>chap-InfoSecMan-pol0</t>
  </si>
  <si>
    <t>chap-InfoSecMan-gouv0</t>
  </si>
  <si>
    <t>chap-InfoSecMan-archisec</t>
  </si>
  <si>
    <t>chap-IncidMan-reaction</t>
  </si>
  <si>
    <t>chap-IncidMan-investigation</t>
  </si>
  <si>
    <t>chap-IncidMan-intro</t>
  </si>
  <si>
    <t>chap-IncidMan-csirt</t>
  </si>
  <si>
    <t>chap-IncidMan-crisis</t>
  </si>
  <si>
    <t>chap-IncidMan-connexes</t>
  </si>
  <si>
    <t>chap-IncidMan-anticipation</t>
  </si>
  <si>
    <t>chap-Cyberdef-intro</t>
  </si>
  <si>
    <t>chap-CryptMan-introduction</t>
  </si>
  <si>
    <t>chap-contrib</t>
  </si>
  <si>
    <t>chap-CloudMan-secops</t>
  </si>
  <si>
    <t>Etat</t>
  </si>
  <si>
    <t>Ordre</t>
  </si>
  <si>
    <t>Acronymes</t>
  </si>
  <si>
    <t>Glossaire</t>
  </si>
  <si>
    <t>CYBERDEF-00-Glossaire</t>
  </si>
  <si>
    <t>CHEMIN</t>
  </si>
  <si>
    <t>Base</t>
  </si>
  <si>
    <t>chap-gen-glossaire</t>
  </si>
  <si>
    <t>CYBERDEF-00-contrib</t>
  </si>
  <si>
    <t>CYBERDEF-00-intro</t>
  </si>
  <si>
    <t>CYBERDEF-01-pedago</t>
  </si>
  <si>
    <t>CYBERDEF-02-synthesis</t>
  </si>
  <si>
    <t>CYBERDEF-10-riskpol</t>
  </si>
  <si>
    <t>CYBERDEF-20-crypto</t>
  </si>
  <si>
    <t>CYBERDEF-20-polarc</t>
  </si>
  <si>
    <t>CYBERDEF-30-latex</t>
  </si>
  <si>
    <t>CYBERDEF-30-VTI-intro</t>
  </si>
  <si>
    <t>CYBERDEF-30-VTI-studwork</t>
  </si>
  <si>
    <t>CYBERDEF-31-vulman</t>
  </si>
  <si>
    <t>CYBERDEF-32-threatman</t>
  </si>
  <si>
    <t>CYBERDEF-33-incidentman</t>
  </si>
  <si>
    <t>Configuration variables pour les macros VBA</t>
  </si>
  <si>
    <t>TEMPLATE</t>
  </si>
  <si>
    <t>NOTES_INPUT</t>
  </si>
  <si>
    <t>Ligne LATEX pour les inputs de fichiers CHAPTER</t>
  </si>
  <si>
    <t>Input DATABASE</t>
  </si>
  <si>
    <t>input in NOTES</t>
  </si>
  <si>
    <t>CYBERDEF-00-IntroCyberdef</t>
  </si>
  <si>
    <t>chap-gen-introCyberdef</t>
  </si>
  <si>
    <t xml:space="preserve">_x000D_
\input{Tex/Chapters/chap-RiskMan-introduction.tex}_x000D_
</t>
  </si>
  <si>
    <t xml:space="preserve">_x000D_
\input{Tex/Chapters/chap-CryptMan-introduction.tex}_x000D_
</t>
  </si>
  <si>
    <t xml:space="preserve">_x000D_
\input{Tex/Chapters/chap-InfoSecMan-gouv0.tex}_x000D_
\input{Tex/Chapters/chap-InfoSecMan-archisec.tex}_x000D_
\input{Tex/Chapters/chap-InfoSecMan-secarchi.tex}_x000D_
\input{Tex/Chapters/chap-InfoSecMan-pol0.tex}_x000D_
</t>
  </si>
  <si>
    <t xml:space="preserve">_x000D_
\input{Tex/Chapters/chap-VTI-intro.tex}_x000D_
\input{Tex/Chapters/chap-Cyberdef-intro.tex}_x000D_
</t>
  </si>
  <si>
    <t xml:space="preserve">_x000D_
\input{Tex/Chapters/chap-VTI-studwork.tex}_x000D_
</t>
  </si>
  <si>
    <t xml:space="preserve">_x000D_
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%---------------------------------------------------------------------_x000D_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\mode&lt;all&gt;{\input{Tex/Chapters/chap-VulMan-vul-divers.tex}}_x000D_
</t>
  </si>
  <si>
    <t xml:space="preserve">_x000D_
\mode&lt;all&gt;{\input{Tex/Chapters/chap-ThreatMan-intro.tex}}_x000D_
\mode&lt;all&gt;{\input{Tex/Chapters/chap-ThreatMan-history.tex}}_x000D_
\mode&lt;all&gt;{\input{Tex/Chapters/chap-ThreatMan-threatIntel.tex}}_x000D_
\mode&lt;all&gt;{\input{Tex/Chapters/chap-ThreatMan-threatdetect.tex}}_x000D_
\mode&lt;all&gt;{\input{Tex/Chapters/chap-ThreatMan-log.tex}}_x000D_
\mode&lt;all&gt;{\input{Tex/Chapters/chap-ThreatMan-siem.tex}}_x000D_
\mode&lt;all&gt;{\input{Tex/Chapters/chap-ThreatMan-edr.tex}}_x000D_
\mode&lt;all&gt;{\input{Tex/Chapters/chap-ThreatMan-caract.tex}}_x000D_
\mode&lt;all&gt;{\input{Tex/Chapters/chap-ThreatMan-CSOC.tex}}_x000D_
\mode&lt;all&gt;{\input{Tex/Chapters/chap-ThreatMan-leak.tex}}_x000D_
\mode&lt;all&gt;{\input{Tex/Chapters/chap-ThreatMan-divers.tex}}_x000D_
\mode&lt;all&gt;{\input{Tex/Chapters/chap-ThreatMan-attacks.tex}}_x000D_
</t>
  </si>
  <si>
    <t xml:space="preserve">_x000D_
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\mode&lt;all&gt;{\input{Tex/Chapters/chap-IncidMan-connexes.tex}}_x000D_
</t>
  </si>
  <si>
    <t xml:space="preserve">_x000D_
\input{Tex/Chapters/chap-stratcyber-intro.tex}_x000D_
</t>
  </si>
  <si>
    <t xml:space="preserve">_x000D_
\input{Tex/Chapters/chap-latex-commands.tex}_x000D_
</t>
  </si>
  <si>
    <t xml:space="preserve">_x000D_
\input{Tex/Chapters/chap-gen-introCyberdef.tex}_x000D_
</t>
  </si>
  <si>
    <t xml:space="preserve">_x000D_
\input{Tex/Chapters/chap-contrib.tex}_x000D_
</t>
  </si>
  <si>
    <t xml:space="preserve">_x000D_
\input{Tex/Chapters/Tex/Chapters/chap-gen-glossaire.tex}_x000D_
</t>
  </si>
  <si>
    <t xml:space="preserve">_x000D_
\input{Tex/Chapters/chap-Intro-pedago.tex}_x000D_
</t>
  </si>
  <si>
    <t xml:space="preserve">_x000D_
\mode&lt;all&gt;{\input{Tex/Chapters/chap-synthesis-divers.tex}}_x000D_
</t>
  </si>
  <si>
    <t>\mode&lt;all&gt;{\input{Tex/Chapters/##BODY##}}</t>
  </si>
  <si>
    <t>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</t>
  </si>
  <si>
    <t>\mode&lt;all&gt;{\input{Tex/Chapters/chap-ThreatMan-intro.tex}}
\mode&lt;all&gt;{\input{Tex/Chapters/chap-ThreatMan-history.tex}}
\mode&lt;all&gt;{\input{Tex/Chapters/chap-ThreatMan-threatIntel.tex}}
\mode&lt;all&gt;{\input{Tex/Chapters/chap-ThreatMan-threatdetect.tex}}
\mode&lt;all&gt;{\input{Tex/Chapters/chap-ThreatMan-log.tex}}
\mode&lt;all&gt;{\input{Tex/Chapters/chap-ThreatMan-siem.tex}}
\mode&lt;all&gt;{\input{Tex/Chapters/chap-ThreatMan-edr.tex}}
\mode&lt;all&gt;{\input{Tex/Chapters/chap-ThreatMan-caract.tex}}
\mode&lt;all&gt;{\input{Tex/Chapters/chap-ThreatMan-CSOC.tex}}
\mode&lt;all&gt;{\input{Tex/Chapters/chap-ThreatMan-leak.tex}}
\mode&lt;all&gt;{\input{Tex/Chapters/chap-ThreatMan-divers.tex}}
\mode&lt;all&gt;{\input{Tex/Chapters/chap-ThreatMan-attacks.tex}}</t>
  </si>
  <si>
    <t>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</t>
  </si>
  <si>
    <t>/Users/fcdw3504/Documents/GitHub/CYBERDEF</t>
  </si>
  <si>
    <t>\mode&lt;all&gt;{\input{Tex/Chapters/chap-Intro-gen.tex}}_x000D_
\mode&lt;all&gt;{\input{Tex/Chapters/chap-Intro-ref.tex}}</t>
  </si>
  <si>
    <t>\mode&lt;all&gt;{\input{Tex/Chapters/chap-Intro-pedago.tex}}</t>
  </si>
  <si>
    <t>\mode&lt;all&gt;{\input{Tex/Chapters/chap-synthesis-divers.tex}}</t>
  </si>
  <si>
    <t xml:space="preserve">_x000D_
\input{Tex/Chapters/chap-Intro-gen.tex}_x000D_
\input{Tex/Chapters/chap-Intro-ref.tex}_x000D_
</t>
  </si>
  <si>
    <t>Ordre utilisé pour les fichiers pour le chapitrage dans la Notes de Cours</t>
  </si>
  <si>
    <t>Etat de suivi de relecture</t>
  </si>
  <si>
    <t>Chemin des fichiers Lccaux</t>
  </si>
  <si>
    <t>Création d'un porjet NOTE de cours à publier</t>
  </si>
  <si>
    <t>\mode&lt;all&gt;{\input{Tex/Chapters/chap-gen-introCyberdef.tex}}</t>
  </si>
  <si>
    <t>Sources fichier TEX unitaire de notes</t>
  </si>
  <si>
    <t>Compilation Notes de cours PDF</t>
  </si>
  <si>
    <t>local des fichiers</t>
  </si>
  <si>
    <t>chap-infoSecMan-intro</t>
  </si>
  <si>
    <t>Comment</t>
  </si>
  <si>
    <t>THEME</t>
  </si>
  <si>
    <t>CYBERDEF-20-InfoSecMan</t>
  </si>
  <si>
    <t>Information Security Management</t>
  </si>
  <si>
    <t>BOOK PART</t>
  </si>
  <si>
    <t>Introduction, just for initiate chapter</t>
  </si>
  <si>
    <t>CYBERDEF-30-stratcyber</t>
  </si>
  <si>
    <t>Part0</t>
  </si>
  <si>
    <t>Part2</t>
  </si>
  <si>
    <t>Part3</t>
  </si>
  <si>
    <t>ChapTitle</t>
  </si>
  <si>
    <t>CYBERDEF-02-IntroCyberdef</t>
  </si>
  <si>
    <t>ChapterOrder</t>
  </si>
  <si>
    <t>Introduction</t>
  </si>
  <si>
    <t>Cyberstratégie</t>
  </si>
  <si>
    <t>InBook</t>
  </si>
  <si>
    <t>XXX</t>
  </si>
  <si>
    <t>YES</t>
  </si>
  <si>
    <t>Enjeux pédagogiques</t>
  </si>
  <si>
    <t>Attaques et Attaquants</t>
  </si>
  <si>
    <t>Todo</t>
  </si>
  <si>
    <t>NO</t>
  </si>
  <si>
    <t>à revoir</t>
  </si>
  <si>
    <t>Ouvre le fichier TEX de chapitre de manière individuelle dans un modele de NOTE de Cours pour faicliter l'édtion Fichier par fichier pour relecture et édition Unitaire. Création du chapitre à partir du modèle</t>
  </si>
  <si>
    <t>CYBERDEF-10-riskman</t>
  </si>
  <si>
    <t>Part1</t>
  </si>
  <si>
    <t>CYBERDEF-34-CloudMan</t>
  </si>
  <si>
    <t>CYBERDEF-35-synthesis</t>
  </si>
  <si>
    <t>SYNTHESE à changer dans le CNAM.NET (passage de 02 à 54)</t>
  </si>
  <si>
    <t>CYBERDEF-21-gouvsec</t>
  </si>
  <si>
    <t>CYBERDEF-22-polsec</t>
  </si>
  <si>
    <t>CYBERDEF-23-techsec</t>
  </si>
  <si>
    <t>CYBERDEF-23-crypto</t>
  </si>
  <si>
    <t>NOTE DE COURS dans laquelle est affecté le fichier de notes. Attention l'ouverture se fait sur un Nom modifié (CYBERDEF est remplacé par CourseNotes …)</t>
  </si>
  <si>
    <t>Name Course Notes</t>
  </si>
  <si>
    <t>CYBERDEF-XX-LATEX</t>
  </si>
  <si>
    <t>NEVER</t>
  </si>
  <si>
    <t>Explication des contributions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</si>
</sst>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8"/>
      <color theme="4"/>
      <name val="Calibri"/>
      <family val="2"/>
      <scheme val="minor"/>
    </font>
    <font>
      <i/>
      <sz val="12"/>
      <color rgb="FF00B05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" fillId="4" borderId="0" xfId="0" applyFont="1" applyFill="1"/>
    <xf numFmtId="0" fontId="1" fillId="3" borderId="1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vertical="center" wrapText="1"/>
    </xf>
    <xf numFmtId="0" fontId="1" fillId="5" borderId="0" xfId="0" applyFont="1" applyFill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127000</xdr:rowOff>
        </xdr:from>
        <xdr:to>
          <xdr:col>0</xdr:col>
          <xdr:colOff>1574800</xdr:colOff>
          <xdr:row>1</xdr:row>
          <xdr:rowOff>508000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Ouvrir Chapitre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1727200</xdr:colOff>
          <xdr:row>1</xdr:row>
          <xdr:rowOff>139700</xdr:rowOff>
        </xdr:from>
        <xdr:to>
          <xdr:col>0</xdr:col>
          <xdr:colOff>2997200</xdr:colOff>
          <xdr:row>1</xdr:row>
          <xdr:rowOff>520700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Créer Chapitre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1</xdr:row>
          <xdr:rowOff>177800</xdr:rowOff>
        </xdr:from>
        <xdr:to>
          <xdr:col>2</xdr:col>
          <xdr:colOff>1790700</xdr:colOff>
          <xdr:row>1</xdr:row>
          <xdr:rowOff>558800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Ouvrir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</xdr:row>
          <xdr:rowOff>63500</xdr:rowOff>
        </xdr:from>
        <xdr:to>
          <xdr:col>0</xdr:col>
          <xdr:colOff>1701800</xdr:colOff>
          <xdr:row>1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Creation projet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</xdr:row>
          <xdr:rowOff>50800</xdr:rowOff>
        </xdr:from>
        <xdr:to>
          <xdr:col>1</xdr:col>
          <xdr:colOff>1295400</xdr:colOff>
          <xdr:row>1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Création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1079500</xdr:colOff>
          <xdr:row>1</xdr:row>
          <xdr:rowOff>63500</xdr:rowOff>
        </xdr:from>
        <xdr:to>
          <xdr:col>5</xdr:col>
          <xdr:colOff>5003800</xdr:colOff>
          <xdr:row>1</xdr:row>
          <xdr:rowOff>444500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UBODY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2349500</xdr:colOff>
          <xdr:row>1</xdr:row>
          <xdr:rowOff>88900</xdr:rowOff>
        </xdr:from>
        <xdr:to>
          <xdr:col>2</xdr:col>
          <xdr:colOff>50800</xdr:colOff>
          <xdr:row>1</xdr:row>
          <xdr:rowOff>355600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</xdr:row>
          <xdr:rowOff>38100</xdr:rowOff>
        </xdr:from>
        <xdr:to>
          <xdr:col>6</xdr:col>
          <xdr:colOff>2527300</xdr:colOff>
          <xdr:row>1</xdr:row>
          <xdr:rowOff>419100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 NOTE File 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</xdr:row>
          <xdr:rowOff>50800</xdr:rowOff>
        </xdr:from>
        <xdr:to>
          <xdr:col>0</xdr:col>
          <xdr:colOff>3568700</xdr:colOff>
          <xdr:row>1</xdr:row>
          <xdr:rowOff>355600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56176-B26E-284C-B1D1-485F2B254078}">
  <sheetPr codeName="Feuil8"/>
  <dimension ref="B21:C23"/>
  <sheetViews>
    <sheetView showGridLines="0" showRowColHeaders="0" workbookViewId="0">
      <selection activeCell="G31" sqref="G31"/>
    </sheetView>
  </sheetViews>
  <sheetFormatPr baseColWidth="10" defaultRowHeight="16" x14ac:dyDescent="0.2"/>
  <sheetData>
    <row r="21" spans="2:3" ht="26" x14ac:dyDescent="0.3">
      <c r="B21" s="26" t="s">
        <v>136</v>
      </c>
    </row>
    <row r="23" spans="2:3" x14ac:dyDescent="0.2">
      <c r="C23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4D29-1817-3F42-97B6-C468AA7CE4DA}">
  <sheetPr codeName="Feuil2"/>
  <dimension ref="B1:D7"/>
  <sheetViews>
    <sheetView showGridLines="0" showRowColHeaders="0" zoomScale="150" workbookViewId="0">
      <selection activeCell="B5" sqref="B5"/>
    </sheetView>
  </sheetViews>
  <sheetFormatPr baseColWidth="10" defaultRowHeight="16" x14ac:dyDescent="0.2"/>
  <cols>
    <col min="1" max="1" width="4.1640625" customWidth="1"/>
    <col min="2" max="2" width="17" customWidth="1"/>
    <col min="3" max="3" width="43.6640625" customWidth="1"/>
    <col min="4" max="4" width="42.5" style="4" customWidth="1"/>
  </cols>
  <sheetData>
    <row r="1" spans="2:4" ht="24" x14ac:dyDescent="0.3">
      <c r="B1" s="3" t="s">
        <v>75</v>
      </c>
    </row>
    <row r="3" spans="2:4" x14ac:dyDescent="0.2">
      <c r="B3" s="1" t="s">
        <v>59</v>
      </c>
      <c r="C3" t="s">
        <v>102</v>
      </c>
      <c r="D3" s="4" t="s">
        <v>109</v>
      </c>
    </row>
    <row r="4" spans="2:4" x14ac:dyDescent="0.2">
      <c r="B4" t="s">
        <v>114</v>
      </c>
    </row>
    <row r="6" spans="2:4" x14ac:dyDescent="0.2">
      <c r="B6" s="2" t="s">
        <v>76</v>
      </c>
    </row>
    <row r="7" spans="2:4" x14ac:dyDescent="0.2">
      <c r="B7" s="1" t="s">
        <v>77</v>
      </c>
      <c r="C7" t="s">
        <v>98</v>
      </c>
      <c r="D7" s="4" t="s"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2810F-2DD9-694C-80C2-C5D0E2C3CA92}">
  <sheetPr codeName="Feuil4"/>
  <dimension ref="A1:L52"/>
  <sheetViews>
    <sheetView tabSelected="1" workbookViewId="0">
      <pane xSplit="5520" ySplit="3760" activePane="bottomRight"/>
      <selection activeCell="A18" sqref="A18"/>
      <selection pane="topRight" activeCell="E1" sqref="E1:E1048576"/>
      <selection pane="bottomLeft" activeCell="A7" sqref="A7"/>
      <selection pane="bottomRight" activeCell="A6" sqref="A6"/>
    </sheetView>
  </sheetViews>
  <sheetFormatPr baseColWidth="10" defaultRowHeight="16" x14ac:dyDescent="0.2"/>
  <cols>
    <col min="1" max="1" width="42.1640625" style="10" customWidth="1"/>
    <col min="2" max="2" width="12.5" style="10" customWidth="1"/>
    <col min="3" max="3" width="32.6640625" style="10" customWidth="1"/>
    <col min="4" max="4" width="16" style="10" customWidth="1"/>
    <col min="5" max="5" width="2" style="20" customWidth="1"/>
    <col min="6" max="6" width="33.6640625" style="20" customWidth="1"/>
    <col min="7" max="7" width="12.83203125" style="10" customWidth="1"/>
    <col min="8" max="8" width="13.1640625" style="10" customWidth="1"/>
    <col min="9" max="9" width="25.33203125" style="20" customWidth="1"/>
    <col min="10" max="10" width="10.83203125" style="10"/>
    <col min="11" max="11" width="14.5" style="10" customWidth="1"/>
    <col min="12" max="12" width="38.5" style="10" customWidth="1"/>
    <col min="13" max="16384" width="10.83203125" style="10"/>
  </cols>
  <sheetData>
    <row r="1" spans="1:12" ht="100" customHeight="1" thickBot="1" x14ac:dyDescent="0.25">
      <c r="A1" s="13" t="s">
        <v>139</v>
      </c>
      <c r="B1" s="11" t="s">
        <v>107</v>
      </c>
      <c r="C1" s="13" t="s">
        <v>149</v>
      </c>
      <c r="D1" s="8" t="s">
        <v>108</v>
      </c>
    </row>
    <row r="2" spans="1:12" s="15" customFormat="1" ht="66" customHeight="1" x14ac:dyDescent="0.2">
      <c r="A2" s="14" t="s">
        <v>112</v>
      </c>
      <c r="B2" s="22" t="s">
        <v>55</v>
      </c>
      <c r="C2" s="14" t="s">
        <v>113</v>
      </c>
      <c r="D2" s="22" t="s">
        <v>54</v>
      </c>
      <c r="E2" s="23" t="s">
        <v>117</v>
      </c>
      <c r="F2" s="23" t="s">
        <v>116</v>
      </c>
      <c r="G2" s="23" t="s">
        <v>120</v>
      </c>
      <c r="H2" s="22" t="s">
        <v>128</v>
      </c>
      <c r="I2" s="22" t="s">
        <v>126</v>
      </c>
      <c r="J2" s="22" t="s">
        <v>131</v>
      </c>
      <c r="K2" s="22" t="s">
        <v>136</v>
      </c>
      <c r="L2" s="24" t="s">
        <v>150</v>
      </c>
    </row>
    <row r="3" spans="1:12" ht="33" customHeight="1" x14ac:dyDescent="0.2">
      <c r="A3" s="25" t="s">
        <v>37</v>
      </c>
      <c r="B3" s="10">
        <v>1</v>
      </c>
      <c r="C3" s="10" t="s">
        <v>3</v>
      </c>
      <c r="G3" s="10" t="s">
        <v>123</v>
      </c>
      <c r="H3" s="10">
        <v>0</v>
      </c>
      <c r="I3" s="20" t="s">
        <v>129</v>
      </c>
      <c r="J3" s="10" t="s">
        <v>133</v>
      </c>
      <c r="L3" s="20" t="str">
        <f>CONCATENATE("CourseNotes-FR-SEC101",RIGHT(C3,LEN(C3)-8))</f>
        <v>CourseNotes-FR-SEC101-00-Intro</v>
      </c>
    </row>
    <row r="4" spans="1:12" x14ac:dyDescent="0.2">
      <c r="A4" s="25" t="s">
        <v>35</v>
      </c>
      <c r="B4" s="10">
        <v>2</v>
      </c>
      <c r="C4" s="10" t="s">
        <v>3</v>
      </c>
      <c r="G4" s="10" t="s">
        <v>123</v>
      </c>
      <c r="H4" s="10">
        <v>0</v>
      </c>
      <c r="I4" s="20" t="s">
        <v>129</v>
      </c>
      <c r="J4" s="10" t="s">
        <v>133</v>
      </c>
      <c r="L4" s="20" t="str">
        <f t="shared" ref="L4:L52" si="0">CONCATENATE("CourseNotes-FR-SEC101",RIGHT(C4,LEN(C4)-8))</f>
        <v>CourseNotes-FR-SEC101-00-Intro</v>
      </c>
    </row>
    <row r="5" spans="1:12" x14ac:dyDescent="0.2">
      <c r="A5" s="10" t="s">
        <v>52</v>
      </c>
      <c r="B5" s="10">
        <v>3</v>
      </c>
      <c r="C5" s="10" t="s">
        <v>3</v>
      </c>
      <c r="F5" s="21" t="s">
        <v>153</v>
      </c>
      <c r="G5" s="10" t="s">
        <v>123</v>
      </c>
      <c r="J5" s="10" t="s">
        <v>152</v>
      </c>
      <c r="L5" s="20" t="str">
        <f t="shared" si="0"/>
        <v>CourseNotes-FR-SEC101-00-Intro</v>
      </c>
    </row>
    <row r="6" spans="1:12" x14ac:dyDescent="0.2">
      <c r="A6" s="25" t="s">
        <v>36</v>
      </c>
      <c r="B6" s="10">
        <v>1</v>
      </c>
      <c r="C6" s="10" t="s">
        <v>64</v>
      </c>
      <c r="G6" s="10" t="s">
        <v>123</v>
      </c>
      <c r="H6" s="10">
        <v>1</v>
      </c>
      <c r="I6" s="20" t="s">
        <v>134</v>
      </c>
      <c r="J6" s="10" t="s">
        <v>133</v>
      </c>
      <c r="L6" s="20" t="str">
        <f t="shared" si="0"/>
        <v>CourseNotes-FR-SEC101-01-pedago</v>
      </c>
    </row>
    <row r="7" spans="1:12" x14ac:dyDescent="0.2">
      <c r="A7" s="10" t="s">
        <v>82</v>
      </c>
      <c r="B7" s="10">
        <v>1</v>
      </c>
      <c r="C7" s="10" t="s">
        <v>127</v>
      </c>
      <c r="G7" s="10" t="s">
        <v>123</v>
      </c>
      <c r="H7" s="10">
        <v>2</v>
      </c>
      <c r="I7" s="20" t="s">
        <v>130</v>
      </c>
      <c r="J7" s="10" t="s">
        <v>137</v>
      </c>
      <c r="L7" s="20" t="str">
        <f t="shared" si="0"/>
        <v>CourseNotes-FR-SEC101-02-IntroCyberdef</v>
      </c>
    </row>
    <row r="8" spans="1:12" x14ac:dyDescent="0.2">
      <c r="A8" s="10" t="s">
        <v>31</v>
      </c>
      <c r="B8" s="10">
        <v>1</v>
      </c>
      <c r="C8" s="10" t="s">
        <v>127</v>
      </c>
      <c r="G8" s="10" t="s">
        <v>123</v>
      </c>
      <c r="H8" s="10">
        <v>2</v>
      </c>
      <c r="I8" s="20" t="s">
        <v>130</v>
      </c>
      <c r="J8" s="10" t="s">
        <v>137</v>
      </c>
      <c r="K8" s="10" t="s">
        <v>138</v>
      </c>
      <c r="L8" s="20" t="str">
        <f t="shared" si="0"/>
        <v>CourseNotes-FR-SEC101-02-IntroCyberdef</v>
      </c>
    </row>
    <row r="9" spans="1:12" x14ac:dyDescent="0.2">
      <c r="A9" s="10" t="s">
        <v>38</v>
      </c>
      <c r="B9" s="10">
        <v>1</v>
      </c>
      <c r="C9" s="10" t="s">
        <v>127</v>
      </c>
      <c r="G9" s="10" t="s">
        <v>123</v>
      </c>
      <c r="H9" s="10">
        <v>2</v>
      </c>
      <c r="I9" s="20" t="s">
        <v>135</v>
      </c>
      <c r="J9" s="10" t="s">
        <v>133</v>
      </c>
      <c r="L9" s="20" t="str">
        <f t="shared" si="0"/>
        <v>CourseNotes-FR-SEC101-02-IntroCyberdef</v>
      </c>
    </row>
    <row r="10" spans="1:12" x14ac:dyDescent="0.2">
      <c r="A10" s="10" t="s">
        <v>50</v>
      </c>
      <c r="B10" s="10">
        <v>1</v>
      </c>
      <c r="C10" s="10" t="s">
        <v>127</v>
      </c>
      <c r="G10" s="10" t="s">
        <v>124</v>
      </c>
      <c r="L10" s="20" t="str">
        <f t="shared" si="0"/>
        <v>CourseNotes-FR-SEC101-02-IntroCyberdef</v>
      </c>
    </row>
    <row r="11" spans="1:12" x14ac:dyDescent="0.2">
      <c r="A11" s="10" t="s">
        <v>33</v>
      </c>
      <c r="B11" s="10">
        <v>1</v>
      </c>
      <c r="C11" s="10" t="s">
        <v>140</v>
      </c>
      <c r="G11" s="10" t="s">
        <v>141</v>
      </c>
      <c r="L11" s="20" t="str">
        <f t="shared" si="0"/>
        <v>CourseNotes-FR-SEC101-10-riskman</v>
      </c>
    </row>
    <row r="12" spans="1:12" x14ac:dyDescent="0.2">
      <c r="A12" s="10" t="s">
        <v>32</v>
      </c>
      <c r="B12" s="10">
        <v>2</v>
      </c>
      <c r="C12" s="10" t="s">
        <v>140</v>
      </c>
      <c r="G12" s="10" t="s">
        <v>141</v>
      </c>
      <c r="L12" s="20" t="str">
        <f t="shared" si="0"/>
        <v>CourseNotes-FR-SEC101-10-riskman</v>
      </c>
    </row>
    <row r="13" spans="1:12" x14ac:dyDescent="0.2">
      <c r="A13" s="19" t="s">
        <v>115</v>
      </c>
      <c r="B13" s="10">
        <v>1</v>
      </c>
      <c r="C13" s="10" t="s">
        <v>118</v>
      </c>
      <c r="E13" s="20" t="s">
        <v>119</v>
      </c>
      <c r="F13" s="21" t="s">
        <v>121</v>
      </c>
      <c r="G13" s="10" t="s">
        <v>124</v>
      </c>
      <c r="L13" s="20" t="str">
        <f t="shared" si="0"/>
        <v>CourseNotes-FR-SEC101-20-InfoSecMan</v>
      </c>
    </row>
    <row r="14" spans="1:12" x14ac:dyDescent="0.2">
      <c r="A14" s="10" t="s">
        <v>41</v>
      </c>
      <c r="B14" s="10">
        <v>1</v>
      </c>
      <c r="C14" s="10" t="s">
        <v>145</v>
      </c>
      <c r="G14" s="10" t="s">
        <v>124</v>
      </c>
      <c r="L14" s="20" t="str">
        <f t="shared" si="0"/>
        <v>CourseNotes-FR-SEC101-21-gouvsec</v>
      </c>
    </row>
    <row r="15" spans="1:12" x14ac:dyDescent="0.2">
      <c r="A15" s="10" t="s">
        <v>40</v>
      </c>
      <c r="B15" s="10">
        <v>4</v>
      </c>
      <c r="C15" s="10" t="s">
        <v>146</v>
      </c>
      <c r="G15" s="10" t="s">
        <v>124</v>
      </c>
      <c r="L15" s="20" t="str">
        <f t="shared" si="0"/>
        <v>CourseNotes-FR-SEC101-22-polsec</v>
      </c>
    </row>
    <row r="16" spans="1:12" x14ac:dyDescent="0.2">
      <c r="A16" s="10" t="s">
        <v>51</v>
      </c>
      <c r="B16" s="10">
        <v>5</v>
      </c>
      <c r="C16" s="10" t="s">
        <v>148</v>
      </c>
      <c r="G16" s="10" t="s">
        <v>124</v>
      </c>
      <c r="L16" s="20" t="str">
        <f t="shared" si="0"/>
        <v>CourseNotes-FR-SEC101-23-crypto</v>
      </c>
    </row>
    <row r="17" spans="1:12" x14ac:dyDescent="0.2">
      <c r="A17" s="10" t="s">
        <v>39</v>
      </c>
      <c r="B17" s="10">
        <v>3</v>
      </c>
      <c r="C17" s="10" t="s">
        <v>147</v>
      </c>
      <c r="G17" s="10" t="s">
        <v>124</v>
      </c>
      <c r="L17" s="20" t="str">
        <f t="shared" si="0"/>
        <v>CourseNotes-FR-SEC101-23-techsec</v>
      </c>
    </row>
    <row r="18" spans="1:12" x14ac:dyDescent="0.2">
      <c r="A18" s="10" t="s">
        <v>42</v>
      </c>
      <c r="B18" s="10">
        <v>2</v>
      </c>
      <c r="C18" s="10" t="s">
        <v>147</v>
      </c>
      <c r="G18" s="10" t="s">
        <v>124</v>
      </c>
      <c r="L18" s="20" t="str">
        <f t="shared" si="0"/>
        <v>CourseNotes-FR-SEC101-23-techsec</v>
      </c>
    </row>
    <row r="19" spans="1:12" x14ac:dyDescent="0.2">
      <c r="A19" s="10" t="s">
        <v>16</v>
      </c>
      <c r="B19" s="10">
        <v>1</v>
      </c>
      <c r="C19" s="10" t="s">
        <v>70</v>
      </c>
      <c r="G19" s="10" t="s">
        <v>125</v>
      </c>
      <c r="L19" s="20" t="str">
        <f t="shared" si="0"/>
        <v>CourseNotes-FR-SEC101-30-VTI-intro</v>
      </c>
    </row>
    <row r="20" spans="1:12" x14ac:dyDescent="0.2">
      <c r="A20" s="10" t="s">
        <v>15</v>
      </c>
      <c r="B20" s="10">
        <v>1</v>
      </c>
      <c r="C20" s="10" t="s">
        <v>71</v>
      </c>
      <c r="G20" s="10" t="s">
        <v>132</v>
      </c>
      <c r="J20" s="10" t="s">
        <v>152</v>
      </c>
      <c r="L20" s="20" t="str">
        <f t="shared" si="0"/>
        <v>CourseNotes-FR-SEC101-30-VTI-studwork</v>
      </c>
    </row>
    <row r="21" spans="1:12" x14ac:dyDescent="0.2">
      <c r="A21" s="10" t="s">
        <v>13</v>
      </c>
      <c r="B21" s="10">
        <v>1</v>
      </c>
      <c r="C21" s="10" t="s">
        <v>72</v>
      </c>
      <c r="G21" s="10" t="s">
        <v>125</v>
      </c>
      <c r="L21" s="20" t="str">
        <f t="shared" si="0"/>
        <v>CourseNotes-FR-SEC101-31-vulman</v>
      </c>
    </row>
    <row r="22" spans="1:12" x14ac:dyDescent="0.2">
      <c r="A22" s="10" t="s">
        <v>8</v>
      </c>
      <c r="B22" s="10">
        <v>2</v>
      </c>
      <c r="C22" s="10" t="s">
        <v>72</v>
      </c>
      <c r="G22" s="10" t="s">
        <v>125</v>
      </c>
      <c r="L22" s="20" t="str">
        <f t="shared" si="0"/>
        <v>CourseNotes-FR-SEC101-31-vulman</v>
      </c>
    </row>
    <row r="23" spans="1:12" x14ac:dyDescent="0.2">
      <c r="A23" s="10" t="s">
        <v>9</v>
      </c>
      <c r="B23" s="10">
        <v>3</v>
      </c>
      <c r="C23" s="10" t="s">
        <v>72</v>
      </c>
      <c r="G23" s="10" t="s">
        <v>125</v>
      </c>
      <c r="L23" s="20" t="str">
        <f t="shared" si="0"/>
        <v>CourseNotes-FR-SEC101-31-vulman</v>
      </c>
    </row>
    <row r="24" spans="1:12" x14ac:dyDescent="0.2">
      <c r="A24" s="10" t="s">
        <v>14</v>
      </c>
      <c r="B24" s="10">
        <v>4</v>
      </c>
      <c r="C24" s="10" t="s">
        <v>72</v>
      </c>
      <c r="G24" s="10" t="s">
        <v>125</v>
      </c>
      <c r="L24" s="20" t="str">
        <f t="shared" si="0"/>
        <v>CourseNotes-FR-SEC101-31-vulman</v>
      </c>
    </row>
    <row r="25" spans="1:12" x14ac:dyDescent="0.2">
      <c r="A25" s="10" t="s">
        <v>6</v>
      </c>
      <c r="B25" s="10">
        <v>5</v>
      </c>
      <c r="C25" s="10" t="s">
        <v>72</v>
      </c>
      <c r="G25" s="10" t="s">
        <v>125</v>
      </c>
      <c r="L25" s="20" t="str">
        <f t="shared" si="0"/>
        <v>CourseNotes-FR-SEC101-31-vulman</v>
      </c>
    </row>
    <row r="26" spans="1:12" x14ac:dyDescent="0.2">
      <c r="A26" s="10" t="s">
        <v>12</v>
      </c>
      <c r="B26" s="10">
        <v>6</v>
      </c>
      <c r="C26" s="10" t="s">
        <v>72</v>
      </c>
      <c r="G26" s="10" t="s">
        <v>125</v>
      </c>
      <c r="L26" s="20" t="str">
        <f t="shared" si="0"/>
        <v>CourseNotes-FR-SEC101-31-vulman</v>
      </c>
    </row>
    <row r="27" spans="1:12" x14ac:dyDescent="0.2">
      <c r="A27" s="10" t="s">
        <v>10</v>
      </c>
      <c r="B27" s="10">
        <v>7</v>
      </c>
      <c r="C27" s="10" t="s">
        <v>72</v>
      </c>
      <c r="G27" s="10" t="s">
        <v>125</v>
      </c>
      <c r="L27" s="20" t="str">
        <f t="shared" si="0"/>
        <v>CourseNotes-FR-SEC101-31-vulman</v>
      </c>
    </row>
    <row r="28" spans="1:12" x14ac:dyDescent="0.2">
      <c r="A28" s="10" t="s">
        <v>11</v>
      </c>
      <c r="B28" s="10">
        <v>8</v>
      </c>
      <c r="C28" s="10" t="s">
        <v>72</v>
      </c>
      <c r="G28" s="10" t="s">
        <v>125</v>
      </c>
      <c r="L28" s="20" t="str">
        <f t="shared" si="0"/>
        <v>CourseNotes-FR-SEC101-31-vulman</v>
      </c>
    </row>
    <row r="29" spans="1:12" x14ac:dyDescent="0.2">
      <c r="A29" s="10" t="s">
        <v>7</v>
      </c>
      <c r="B29" s="10">
        <v>9</v>
      </c>
      <c r="C29" s="10" t="s">
        <v>72</v>
      </c>
      <c r="G29" s="10" t="s">
        <v>125</v>
      </c>
      <c r="L29" s="20" t="str">
        <f t="shared" si="0"/>
        <v>CourseNotes-FR-SEC101-31-vulman</v>
      </c>
    </row>
    <row r="30" spans="1:12" x14ac:dyDescent="0.2">
      <c r="A30" s="10" t="s">
        <v>23</v>
      </c>
      <c r="B30" s="10">
        <v>1</v>
      </c>
      <c r="C30" s="10" t="s">
        <v>73</v>
      </c>
      <c r="G30" s="10" t="s">
        <v>125</v>
      </c>
      <c r="L30" s="20" t="str">
        <f t="shared" si="0"/>
        <v>CourseNotes-FR-SEC101-32-threatman</v>
      </c>
    </row>
    <row r="31" spans="1:12" x14ac:dyDescent="0.2">
      <c r="A31" s="10" t="s">
        <v>24</v>
      </c>
      <c r="B31" s="10">
        <v>2</v>
      </c>
      <c r="C31" s="10" t="s">
        <v>73</v>
      </c>
      <c r="G31" s="10" t="s">
        <v>125</v>
      </c>
      <c r="L31" s="20" t="str">
        <f t="shared" si="0"/>
        <v>CourseNotes-FR-SEC101-32-threatman</v>
      </c>
    </row>
    <row r="32" spans="1:12" x14ac:dyDescent="0.2">
      <c r="A32" s="10" t="s">
        <v>17</v>
      </c>
      <c r="B32" s="10">
        <v>3</v>
      </c>
      <c r="C32" s="10" t="s">
        <v>73</v>
      </c>
      <c r="G32" s="10" t="s">
        <v>125</v>
      </c>
      <c r="L32" s="20" t="str">
        <f t="shared" si="0"/>
        <v>CourseNotes-FR-SEC101-32-threatman</v>
      </c>
    </row>
    <row r="33" spans="1:12" x14ac:dyDescent="0.2">
      <c r="A33" s="10" t="s">
        <v>18</v>
      </c>
      <c r="B33" s="10">
        <v>4</v>
      </c>
      <c r="C33" s="10" t="s">
        <v>73</v>
      </c>
      <c r="G33" s="10" t="s">
        <v>125</v>
      </c>
      <c r="L33" s="20" t="str">
        <f t="shared" si="0"/>
        <v>CourseNotes-FR-SEC101-32-threatman</v>
      </c>
    </row>
    <row r="34" spans="1:12" x14ac:dyDescent="0.2">
      <c r="A34" s="10" t="s">
        <v>21</v>
      </c>
      <c r="B34" s="10">
        <v>5</v>
      </c>
      <c r="C34" s="10" t="s">
        <v>73</v>
      </c>
      <c r="G34" s="10" t="s">
        <v>125</v>
      </c>
      <c r="L34" s="20" t="str">
        <f t="shared" si="0"/>
        <v>CourseNotes-FR-SEC101-32-threatman</v>
      </c>
    </row>
    <row r="35" spans="1:12" x14ac:dyDescent="0.2">
      <c r="A35" s="10" t="s">
        <v>19</v>
      </c>
      <c r="B35" s="10">
        <v>6</v>
      </c>
      <c r="C35" s="10" t="s">
        <v>73</v>
      </c>
      <c r="G35" s="10" t="s">
        <v>125</v>
      </c>
      <c r="L35" s="20" t="str">
        <f t="shared" si="0"/>
        <v>CourseNotes-FR-SEC101-32-threatman</v>
      </c>
    </row>
    <row r="36" spans="1:12" x14ac:dyDescent="0.2">
      <c r="A36" s="10" t="s">
        <v>25</v>
      </c>
      <c r="B36" s="10">
        <v>7</v>
      </c>
      <c r="C36" s="10" t="s">
        <v>73</v>
      </c>
      <c r="G36" s="10" t="s">
        <v>125</v>
      </c>
      <c r="L36" s="20" t="str">
        <f t="shared" si="0"/>
        <v>CourseNotes-FR-SEC101-32-threatman</v>
      </c>
    </row>
    <row r="37" spans="1:12" x14ac:dyDescent="0.2">
      <c r="A37" s="10" t="s">
        <v>28</v>
      </c>
      <c r="B37" s="10">
        <v>8</v>
      </c>
      <c r="C37" s="10" t="s">
        <v>73</v>
      </c>
      <c r="G37" s="10" t="s">
        <v>125</v>
      </c>
      <c r="L37" s="20" t="str">
        <f t="shared" si="0"/>
        <v>CourseNotes-FR-SEC101-32-threatman</v>
      </c>
    </row>
    <row r="38" spans="1:12" x14ac:dyDescent="0.2">
      <c r="A38" s="10" t="s">
        <v>27</v>
      </c>
      <c r="B38" s="10">
        <v>9</v>
      </c>
      <c r="C38" s="10" t="s">
        <v>73</v>
      </c>
      <c r="G38" s="10" t="s">
        <v>125</v>
      </c>
      <c r="L38" s="20" t="str">
        <f t="shared" si="0"/>
        <v>CourseNotes-FR-SEC101-32-threatman</v>
      </c>
    </row>
    <row r="39" spans="1:12" x14ac:dyDescent="0.2">
      <c r="A39" s="10" t="s">
        <v>22</v>
      </c>
      <c r="B39" s="10">
        <v>10</v>
      </c>
      <c r="C39" s="10" t="s">
        <v>73</v>
      </c>
      <c r="G39" s="10" t="s">
        <v>125</v>
      </c>
      <c r="L39" s="20" t="str">
        <f t="shared" si="0"/>
        <v>CourseNotes-FR-SEC101-32-threatman</v>
      </c>
    </row>
    <row r="40" spans="1:12" x14ac:dyDescent="0.2">
      <c r="A40" s="10" t="s">
        <v>26</v>
      </c>
      <c r="B40" s="10">
        <v>11</v>
      </c>
      <c r="C40" s="10" t="s">
        <v>73</v>
      </c>
      <c r="G40" s="10" t="s">
        <v>125</v>
      </c>
      <c r="L40" s="20" t="str">
        <f t="shared" si="0"/>
        <v>CourseNotes-FR-SEC101-32-threatman</v>
      </c>
    </row>
    <row r="41" spans="1:12" x14ac:dyDescent="0.2">
      <c r="A41" s="10" t="s">
        <v>29</v>
      </c>
      <c r="B41" s="10">
        <v>12</v>
      </c>
      <c r="C41" s="10" t="s">
        <v>73</v>
      </c>
      <c r="G41" s="10" t="s">
        <v>125</v>
      </c>
      <c r="L41" s="20" t="str">
        <f t="shared" si="0"/>
        <v>CourseNotes-FR-SEC101-32-threatman</v>
      </c>
    </row>
    <row r="42" spans="1:12" x14ac:dyDescent="0.2">
      <c r="A42" s="10" t="s">
        <v>20</v>
      </c>
      <c r="B42" s="10" t="s">
        <v>5</v>
      </c>
      <c r="C42" s="10" t="s">
        <v>73</v>
      </c>
      <c r="G42" s="10" t="s">
        <v>125</v>
      </c>
      <c r="L42" s="20" t="str">
        <f t="shared" si="0"/>
        <v>CourseNotes-FR-SEC101-32-threatman</v>
      </c>
    </row>
    <row r="43" spans="1:12" x14ac:dyDescent="0.2">
      <c r="A43" s="10" t="s">
        <v>45</v>
      </c>
      <c r="B43" s="10">
        <v>1</v>
      </c>
      <c r="C43" s="10" t="s">
        <v>74</v>
      </c>
      <c r="G43" s="10" t="s">
        <v>125</v>
      </c>
      <c r="L43" s="20" t="str">
        <f t="shared" si="0"/>
        <v>CourseNotes-FR-SEC101-33-incidentman</v>
      </c>
    </row>
    <row r="44" spans="1:12" x14ac:dyDescent="0.2">
      <c r="A44" s="10" t="s">
        <v>49</v>
      </c>
      <c r="B44" s="10">
        <v>2</v>
      </c>
      <c r="C44" s="10" t="s">
        <v>74</v>
      </c>
      <c r="G44" s="10" t="s">
        <v>125</v>
      </c>
      <c r="L44" s="20" t="str">
        <f t="shared" si="0"/>
        <v>CourseNotes-FR-SEC101-33-incidentman</v>
      </c>
    </row>
    <row r="45" spans="1:12" x14ac:dyDescent="0.2">
      <c r="A45" s="10" t="s">
        <v>43</v>
      </c>
      <c r="B45" s="10">
        <v>3</v>
      </c>
      <c r="C45" s="10" t="s">
        <v>74</v>
      </c>
      <c r="G45" s="10" t="s">
        <v>125</v>
      </c>
      <c r="L45" s="20" t="str">
        <f t="shared" si="0"/>
        <v>CourseNotes-FR-SEC101-33-incidentman</v>
      </c>
    </row>
    <row r="46" spans="1:12" x14ac:dyDescent="0.2">
      <c r="A46" s="10" t="s">
        <v>44</v>
      </c>
      <c r="B46" s="10">
        <v>4</v>
      </c>
      <c r="C46" s="10" t="s">
        <v>74</v>
      </c>
      <c r="G46" s="10" t="s">
        <v>125</v>
      </c>
      <c r="L46" s="20" t="str">
        <f t="shared" si="0"/>
        <v>CourseNotes-FR-SEC101-33-incidentman</v>
      </c>
    </row>
    <row r="47" spans="1:12" x14ac:dyDescent="0.2">
      <c r="A47" s="10" t="s">
        <v>46</v>
      </c>
      <c r="B47" s="10">
        <v>5</v>
      </c>
      <c r="C47" s="10" t="s">
        <v>74</v>
      </c>
      <c r="G47" s="10" t="s">
        <v>125</v>
      </c>
      <c r="L47" s="20" t="str">
        <f t="shared" si="0"/>
        <v>CourseNotes-FR-SEC101-33-incidentman</v>
      </c>
    </row>
    <row r="48" spans="1:12" x14ac:dyDescent="0.2">
      <c r="A48" s="10" t="s">
        <v>47</v>
      </c>
      <c r="B48" s="10">
        <v>6</v>
      </c>
      <c r="C48" s="10" t="s">
        <v>74</v>
      </c>
      <c r="G48" s="10" t="s">
        <v>125</v>
      </c>
      <c r="L48" s="20" t="str">
        <f t="shared" si="0"/>
        <v>CourseNotes-FR-SEC101-33-incidentman</v>
      </c>
    </row>
    <row r="49" spans="1:12" x14ac:dyDescent="0.2">
      <c r="A49" s="10" t="s">
        <v>48</v>
      </c>
      <c r="B49" s="10">
        <v>7</v>
      </c>
      <c r="C49" s="10" t="s">
        <v>74</v>
      </c>
      <c r="G49" s="10" t="s">
        <v>125</v>
      </c>
      <c r="L49" s="20" t="str">
        <f t="shared" si="0"/>
        <v>CourseNotes-FR-SEC101-33-incidentman</v>
      </c>
    </row>
    <row r="50" spans="1:12" x14ac:dyDescent="0.2">
      <c r="A50" s="10" t="s">
        <v>53</v>
      </c>
      <c r="B50" s="10">
        <v>1</v>
      </c>
      <c r="C50" s="10" t="s">
        <v>142</v>
      </c>
      <c r="G50" s="10" t="s">
        <v>132</v>
      </c>
      <c r="L50" s="20" t="str">
        <f t="shared" si="0"/>
        <v>CourseNotes-FR-SEC101-34-CloudMan</v>
      </c>
    </row>
    <row r="51" spans="1:12" x14ac:dyDescent="0.2">
      <c r="A51" s="10" t="s">
        <v>30</v>
      </c>
      <c r="B51" s="10">
        <v>1</v>
      </c>
      <c r="C51" s="10" t="s">
        <v>143</v>
      </c>
      <c r="G51" s="10" t="s">
        <v>132</v>
      </c>
      <c r="H51" s="10" t="s">
        <v>5</v>
      </c>
      <c r="L51" s="20" t="str">
        <f t="shared" si="0"/>
        <v>CourseNotes-FR-SEC101-35-synthesis</v>
      </c>
    </row>
    <row r="52" spans="1:12" x14ac:dyDescent="0.2">
      <c r="A52" s="10" t="s">
        <v>34</v>
      </c>
      <c r="B52" s="10">
        <v>1</v>
      </c>
      <c r="C52" s="10" t="s">
        <v>151</v>
      </c>
      <c r="G52" s="10" t="s">
        <v>132</v>
      </c>
      <c r="L52" s="20" t="str">
        <f t="shared" si="0"/>
        <v>CourseNotes-FR-SEC101-XX-LATEX</v>
      </c>
    </row>
  </sheetData>
  <autoFilter ref="A2:J52" xr:uid="{F362810F-2DD9-694C-80C2-C5D0E2C3CA92}">
    <sortState xmlns:xlrd2="http://schemas.microsoft.com/office/spreadsheetml/2017/richdata2" ref="A3:J52">
      <sortCondition ref="C2:C52"/>
    </sortState>
  </autoFilter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ChaptEditor">
                <anchor moveWithCells="1" sizeWithCells="1">
                  <from>
                    <xdr:col>0</xdr:col>
                    <xdr:colOff>76200</xdr:colOff>
                    <xdr:row>1</xdr:row>
                    <xdr:rowOff>127000</xdr:rowOff>
                  </from>
                  <to>
                    <xdr:col>0</xdr:col>
                    <xdr:colOff>1574800</xdr:colOff>
                    <xdr:row>1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_CHAPTER">
                <anchor moveWithCells="1" sizeWithCells="1">
                  <from>
                    <xdr:col>0</xdr:col>
                    <xdr:colOff>1727200</xdr:colOff>
                    <xdr:row>1</xdr:row>
                    <xdr:rowOff>139700</xdr:rowOff>
                  </from>
                  <to>
                    <xdr:col>0</xdr:col>
                    <xdr:colOff>2997200</xdr:colOff>
                    <xdr:row>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openNote">
                <anchor moveWithCells="1" sizeWithCells="1">
                  <from>
                    <xdr:col>2</xdr:col>
                    <xdr:colOff>520700</xdr:colOff>
                    <xdr:row>1</xdr:row>
                    <xdr:rowOff>177800</xdr:rowOff>
                  </from>
                  <to>
                    <xdr:col>2</xdr:col>
                    <xdr:colOff>1790700</xdr:colOff>
                    <xdr:row>1</xdr:row>
                    <xdr:rowOff>558800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1F62-3E64-8149-80DF-E8B55BCF3A3F}">
  <sheetPr codeName="Feuil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8845-6B29-E647-9421-7C2E532FF7FD}">
  <sheetPr codeName="Feuil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455DE-DAAC-CE48-9613-7EB0EE4001E4}">
  <sheetPr codeName="Feuil5"/>
  <dimension ref="B2:B3"/>
  <sheetViews>
    <sheetView workbookViewId="0">
      <selection activeCell="B3" sqref="B3"/>
    </sheetView>
  </sheetViews>
  <sheetFormatPr baseColWidth="10" defaultRowHeight="16" x14ac:dyDescent="0.2"/>
  <sheetData>
    <row r="2" spans="2:2" x14ac:dyDescent="0.2">
      <c r="B2" t="s">
        <v>56</v>
      </c>
    </row>
    <row r="3" spans="2:2" x14ac:dyDescent="0.2">
      <c r="B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34254-2D0B-6545-A4EC-2B1FD13D4E45}">
  <sheetPr codeName="Feuil1"/>
  <dimension ref="A1:G1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baseColWidth="10" defaultRowHeight="16" x14ac:dyDescent="0.2"/>
  <cols>
    <col min="1" max="1" width="49" customWidth="1"/>
    <col min="2" max="2" width="43" customWidth="1"/>
    <col min="5" max="5" width="26.33203125" customWidth="1"/>
    <col min="6" max="6" width="81.33203125" customWidth="1"/>
    <col min="7" max="7" width="76" customWidth="1"/>
  </cols>
  <sheetData>
    <row r="1" spans="1:7" ht="64" customHeight="1" thickBot="1" x14ac:dyDescent="0.25">
      <c r="A1" s="13" t="s">
        <v>110</v>
      </c>
      <c r="C1" s="9"/>
    </row>
    <row r="2" spans="1:7" s="12" customFormat="1" ht="59" customHeight="1" x14ac:dyDescent="0.2">
      <c r="A2" s="12" t="s">
        <v>2</v>
      </c>
      <c r="B2" s="12" t="s">
        <v>4</v>
      </c>
      <c r="C2" s="12" t="s">
        <v>0</v>
      </c>
      <c r="D2" s="12" t="s">
        <v>1</v>
      </c>
      <c r="E2" s="12" t="s">
        <v>60</v>
      </c>
      <c r="F2" s="12" t="s">
        <v>79</v>
      </c>
      <c r="G2" s="12" t="s">
        <v>80</v>
      </c>
    </row>
    <row r="3" spans="1:7" s="7" customFormat="1" x14ac:dyDescent="0.2">
      <c r="A3" s="5" t="str">
        <f t="shared" ref="A3:A18" si="0">CONCATENATE("CourseNotes-FR-SEC101",RIGHT(B3,LEN(B3)-8))</f>
        <v>CourseNotes-FR-SEC101-00-contrib</v>
      </c>
      <c r="B3" s="5" t="s">
        <v>62</v>
      </c>
      <c r="C3" s="5"/>
      <c r="D3" s="5" t="s">
        <v>5</v>
      </c>
      <c r="E3" s="5"/>
      <c r="F3" s="5"/>
      <c r="G3" s="6" t="s">
        <v>94</v>
      </c>
    </row>
    <row r="4" spans="1:7" s="5" customFormat="1" ht="51" x14ac:dyDescent="0.2">
      <c r="A4" s="5" t="str">
        <f t="shared" si="0"/>
        <v>CourseNotes-FR-SEC101-00-Glossaire</v>
      </c>
      <c r="B4" s="5" t="s">
        <v>58</v>
      </c>
      <c r="E4" s="5" t="s">
        <v>61</v>
      </c>
    </row>
    <row r="5" spans="1:7" s="5" customFormat="1" ht="51" x14ac:dyDescent="0.2">
      <c r="A5" s="5" t="str">
        <f t="shared" si="0"/>
        <v>CourseNotes-FR-SEC101-00-Glossaire</v>
      </c>
      <c r="B5" s="5" t="s">
        <v>58</v>
      </c>
      <c r="G5" s="6" t="s">
        <v>95</v>
      </c>
    </row>
    <row r="6" spans="1:7" s="16" customFormat="1" ht="58" customHeight="1" x14ac:dyDescent="0.2">
      <c r="A6" s="18" t="str">
        <f t="shared" si="0"/>
        <v>CourseNotes-FR-SEC101-00-intro</v>
      </c>
      <c r="B6" s="16" t="s">
        <v>63</v>
      </c>
      <c r="C6" s="16" t="s">
        <v>5</v>
      </c>
      <c r="D6" s="16" t="s">
        <v>5</v>
      </c>
      <c r="F6" s="17" t="s">
        <v>103</v>
      </c>
      <c r="G6" s="17" t="s">
        <v>106</v>
      </c>
    </row>
    <row r="7" spans="1:7" s="5" customFormat="1" ht="51" x14ac:dyDescent="0.2">
      <c r="A7" s="5" t="str">
        <f t="shared" si="0"/>
        <v>CourseNotes-FR-SEC101-00-IntroCyberdef</v>
      </c>
      <c r="B7" s="5" t="s">
        <v>81</v>
      </c>
      <c r="C7" s="5" t="s">
        <v>5</v>
      </c>
      <c r="D7" s="5" t="s">
        <v>5</v>
      </c>
      <c r="E7" s="5" t="s">
        <v>82</v>
      </c>
      <c r="F7" s="5" t="s">
        <v>111</v>
      </c>
      <c r="G7" s="6" t="s">
        <v>93</v>
      </c>
    </row>
    <row r="8" spans="1:7" s="16" customFormat="1" ht="51" x14ac:dyDescent="0.2">
      <c r="A8" s="18" t="str">
        <f t="shared" si="0"/>
        <v>CourseNotes-FR-SEC101-01-pedago</v>
      </c>
      <c r="B8" s="16" t="s">
        <v>64</v>
      </c>
      <c r="C8" s="16" t="s">
        <v>5</v>
      </c>
      <c r="D8" s="16" t="s">
        <v>5</v>
      </c>
      <c r="F8" s="16" t="s">
        <v>104</v>
      </c>
      <c r="G8" s="17" t="s">
        <v>96</v>
      </c>
    </row>
    <row r="9" spans="1:7" s="16" customFormat="1" ht="51" x14ac:dyDescent="0.2">
      <c r="A9" s="18" t="str">
        <f t="shared" si="0"/>
        <v>CourseNotes-FR-SEC101-02-synthesis</v>
      </c>
      <c r="B9" s="16" t="s">
        <v>65</v>
      </c>
      <c r="C9" s="16" t="s">
        <v>5</v>
      </c>
      <c r="D9" s="16" t="s">
        <v>5</v>
      </c>
      <c r="F9" s="16" t="s">
        <v>105</v>
      </c>
      <c r="G9" s="17" t="s">
        <v>97</v>
      </c>
    </row>
    <row r="10" spans="1:7" s="5" customFormat="1" ht="51" x14ac:dyDescent="0.2">
      <c r="A10" s="5" t="str">
        <f t="shared" si="0"/>
        <v>CourseNotes-FR-SEC101-10-riskpol</v>
      </c>
      <c r="B10" s="5" t="s">
        <v>66</v>
      </c>
      <c r="G10" s="6" t="s">
        <v>83</v>
      </c>
    </row>
    <row r="11" spans="1:7" s="5" customFormat="1" ht="102" x14ac:dyDescent="0.2">
      <c r="A11" s="5" t="str">
        <f t="shared" si="0"/>
        <v>CourseNotes-FR-SEC101-20-crypto</v>
      </c>
      <c r="B11" s="5" t="s">
        <v>67</v>
      </c>
      <c r="G11" s="6" t="s">
        <v>84</v>
      </c>
    </row>
    <row r="12" spans="1:7" s="5" customFormat="1" ht="51" x14ac:dyDescent="0.2">
      <c r="A12" s="5" t="str">
        <f t="shared" si="0"/>
        <v>CourseNotes-FR-SEC101-20-polarc</v>
      </c>
      <c r="B12" s="5" t="s">
        <v>68</v>
      </c>
      <c r="G12" s="6" t="s">
        <v>85</v>
      </c>
    </row>
    <row r="13" spans="1:7" s="5" customFormat="1" ht="68" x14ac:dyDescent="0.2">
      <c r="A13" s="5" t="str">
        <f t="shared" si="0"/>
        <v>CourseNotes-FR-SEC101-30-latex</v>
      </c>
      <c r="B13" s="5" t="s">
        <v>69</v>
      </c>
      <c r="G13" s="6" t="s">
        <v>92</v>
      </c>
    </row>
    <row r="14" spans="1:7" s="5" customFormat="1" ht="51" x14ac:dyDescent="0.2">
      <c r="A14" s="5" t="str">
        <f t="shared" si="0"/>
        <v>CourseNotes-FR-SEC101-30-VTI-intro</v>
      </c>
      <c r="B14" s="5" t="s">
        <v>70</v>
      </c>
      <c r="C14" s="5" t="s">
        <v>5</v>
      </c>
      <c r="D14" s="5" t="s">
        <v>5</v>
      </c>
      <c r="G14" s="6" t="s">
        <v>86</v>
      </c>
    </row>
    <row r="15" spans="1:7" s="5" customFormat="1" ht="204" x14ac:dyDescent="0.2">
      <c r="A15" s="5" t="str">
        <f t="shared" si="0"/>
        <v>CourseNotes-FR-SEC101-30-VTI-studwork</v>
      </c>
      <c r="B15" s="5" t="s">
        <v>71</v>
      </c>
      <c r="C15" s="5" t="s">
        <v>5</v>
      </c>
      <c r="D15" s="5" t="s">
        <v>5</v>
      </c>
      <c r="G15" s="6" t="s">
        <v>87</v>
      </c>
    </row>
    <row r="16" spans="1:7" s="5" customFormat="1" ht="204" x14ac:dyDescent="0.2">
      <c r="A16" s="5" t="str">
        <f t="shared" si="0"/>
        <v>CourseNotes-FR-SEC101-31-vulman</v>
      </c>
      <c r="B16" s="5" t="s">
        <v>72</v>
      </c>
      <c r="C16" s="5" t="s">
        <v>5</v>
      </c>
      <c r="D16" s="5" t="s">
        <v>5</v>
      </c>
      <c r="F16" s="6" t="s">
        <v>99</v>
      </c>
      <c r="G16" s="6" t="s">
        <v>88</v>
      </c>
    </row>
    <row r="17" spans="1:7" s="5" customFormat="1" ht="238" x14ac:dyDescent="0.2">
      <c r="A17" s="5" t="str">
        <f t="shared" si="0"/>
        <v>CourseNotes-FR-SEC101-32-threatman</v>
      </c>
      <c r="B17" s="5" t="s">
        <v>73</v>
      </c>
      <c r="C17" s="5" t="s">
        <v>5</v>
      </c>
      <c r="D17" s="5" t="s">
        <v>5</v>
      </c>
      <c r="F17" s="6" t="s">
        <v>100</v>
      </c>
      <c r="G17" s="6" t="s">
        <v>89</v>
      </c>
    </row>
    <row r="18" spans="1:7" s="5" customFormat="1" ht="153" x14ac:dyDescent="0.2">
      <c r="A18" s="5" t="str">
        <f t="shared" si="0"/>
        <v>CourseNotes-FR-SEC101-33-incidentman</v>
      </c>
      <c r="B18" s="5" t="s">
        <v>74</v>
      </c>
      <c r="C18" s="5" t="s">
        <v>5</v>
      </c>
      <c r="D18" s="5" t="s">
        <v>5</v>
      </c>
      <c r="F18" s="6" t="s">
        <v>101</v>
      </c>
      <c r="G18" s="6" t="s">
        <v>90</v>
      </c>
    </row>
    <row r="19" spans="1:7" s="7" customFormat="1" ht="51" x14ac:dyDescent="0.2">
      <c r="A19" s="5" t="str">
        <f>CONCATENATE("CourseNotes-FR-SEC101",RIGHT(B19,LEN(B19)-8))</f>
        <v>CourseNotes-FR-SEC101-30-stratcyber</v>
      </c>
      <c r="B19" s="5" t="s">
        <v>122</v>
      </c>
      <c r="C19" s="5"/>
      <c r="D19" s="5"/>
      <c r="E19" s="5"/>
      <c r="F19" s="5"/>
      <c r="G19" s="6" t="s">
        <v>91</v>
      </c>
    </row>
  </sheetData>
  <autoFilter ref="A2:G2" xr:uid="{08E34254-2D0B-6545-A4EC-2B1FD13D4E45}">
    <sortState xmlns:xlrd2="http://schemas.microsoft.com/office/spreadsheetml/2017/richdata2" ref="A3:G19">
      <sortCondition ref="B2:B1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_PRJ">
                <anchor moveWithCells="1" sizeWithCells="1">
                  <from>
                    <xdr:col>0</xdr:col>
                    <xdr:colOff>165100</xdr:colOff>
                    <xdr:row>1</xdr:row>
                    <xdr:rowOff>63500</xdr:rowOff>
                  </from>
                  <to>
                    <xdr:col>0</xdr:col>
                    <xdr:colOff>1701800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NOTE">
                <anchor moveWithCells="1" sizeWithCells="1">
                  <from>
                    <xdr:col>1</xdr:col>
                    <xdr:colOff>101600</xdr:colOff>
                    <xdr:row>1</xdr:row>
                    <xdr:rowOff>50800</xdr:rowOff>
                  </from>
                  <to>
                    <xdr:col>1</xdr:col>
                    <xdr:colOff>1295400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_UBODY">
                <anchor moveWithCells="1" sizeWithCells="1">
                  <from>
                    <xdr:col>5</xdr:col>
                    <xdr:colOff>1079500</xdr:colOff>
                    <xdr:row>1</xdr:row>
                    <xdr:rowOff>63500</xdr:rowOff>
                  </from>
                  <to>
                    <xdr:col>5</xdr:col>
                    <xdr:colOff>5003800</xdr:colOff>
                    <xdr:row>1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openNote">
                <anchor moveWithCells="1" sizeWithCells="1">
                  <from>
                    <xdr:col>1</xdr:col>
                    <xdr:colOff>2349500</xdr:colOff>
                    <xdr:row>1</xdr:row>
                    <xdr:rowOff>88900</xdr:rowOff>
                  </from>
                  <to>
                    <xdr:col>2</xdr:col>
                    <xdr:colOff>50800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fillFile">
                <anchor moveWithCells="1" sizeWithCells="1">
                  <from>
                    <xdr:col>6</xdr:col>
                    <xdr:colOff>342900</xdr:colOff>
                    <xdr:row>1</xdr:row>
                    <xdr:rowOff>38100</xdr:rowOff>
                  </from>
                  <to>
                    <xdr:col>6</xdr:col>
                    <xdr:colOff>2527300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requestFileAccess">
                <anchor moveWithCells="1" sizeWithCells="1">
                  <from>
                    <xdr:col>0</xdr:col>
                    <xdr:colOff>1841500</xdr:colOff>
                    <xdr:row>1</xdr:row>
                    <xdr:rowOff>50800</xdr:rowOff>
                  </from>
                  <to>
                    <xdr:col>0</xdr:col>
                    <xdr:colOff>3568700</xdr:colOff>
                    <xdr:row>1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Infos</vt:lpstr>
      <vt:lpstr>Config</vt:lpstr>
      <vt:lpstr>CHAPS.sources</vt:lpstr>
      <vt:lpstr>DATA Acronymes</vt:lpstr>
      <vt:lpstr>DATA Glossaire</vt:lpstr>
      <vt:lpstr>Services</vt:lpstr>
      <vt:lpstr>NOTES.build</vt:lpstr>
      <vt:lpstr>_CHEMIN</vt:lpstr>
      <vt:lpstr>NOTES_INPUT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2021-09-01T19:29:04Z</dcterms:created>
  <dcterms:modified xsi:type="dcterms:W3CDTF">2022-12-25T23:12:27Z</dcterms:modified>
</cp:coreProperties>
</file>